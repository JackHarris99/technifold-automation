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T:\Instruction Guides\"/>
    </mc:Choice>
  </mc:AlternateContent>
  <xr:revisionPtr revIDLastSave="0" documentId="13_ncr:1_{EA75AF20-A63D-4F10-8A58-31CE88873D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1" l="1"/>
  <c r="E16" i="1"/>
  <c r="E15" i="1"/>
  <c r="E22" i="1"/>
  <c r="E21" i="1"/>
  <c r="E2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<sst xmlns="http://schemas.openxmlformats.org/spreadsheetml/2006/main" count="114" uniqueCount="39">
  <si>
    <t>Device</t>
  </si>
  <si>
    <t>Machine</t>
  </si>
  <si>
    <t>Micro Perf</t>
  </si>
  <si>
    <t>Cutting</t>
  </si>
  <si>
    <t>Folding M/c</t>
  </si>
  <si>
    <t>Orange</t>
  </si>
  <si>
    <t>Blue</t>
  </si>
  <si>
    <t>Yellow</t>
  </si>
  <si>
    <t>Perforation Blades</t>
  </si>
  <si>
    <t>Consumable</t>
  </si>
  <si>
    <t xml:space="preserve">Cutting </t>
  </si>
  <si>
    <t>Perfing Blades</t>
  </si>
  <si>
    <t xml:space="preserve">Cutting Blades </t>
  </si>
  <si>
    <t xml:space="preserve"> Kiss Cutting Blades</t>
  </si>
  <si>
    <t>Nylons for Perforating</t>
  </si>
  <si>
    <t>Approximate Duration</t>
  </si>
  <si>
    <t>Spine Creaser</t>
  </si>
  <si>
    <t>1 million</t>
  </si>
  <si>
    <t>White</t>
  </si>
  <si>
    <t>Spine &amp; Hinge</t>
  </si>
  <si>
    <t>Perfect Binders</t>
  </si>
  <si>
    <t>N/A</t>
  </si>
  <si>
    <t>900,000 - 1,200,000</t>
  </si>
  <si>
    <t>659,000 - 1,000,000</t>
  </si>
  <si>
    <t>300,000 - 900,000</t>
  </si>
  <si>
    <t>How long do Tech-ni-Fold consumables last?
An Approximate Guide</t>
  </si>
  <si>
    <t>Based on a Stahl/MBO 35mm Shaft Device</t>
  </si>
  <si>
    <t>Based on a Stahl 25mm Shaft Device</t>
  </si>
  <si>
    <r>
      <t>Based on M</t>
    </r>
    <r>
      <rPr>
        <b/>
        <sz val="12"/>
        <rFont val="Calibri"/>
        <family val="2"/>
      </rPr>
      <t>ü</t>
    </r>
    <r>
      <rPr>
        <b/>
        <sz val="12"/>
        <rFont val="Calibri"/>
        <family val="2"/>
        <scheme val="minor"/>
      </rPr>
      <t>ller Martini Spine &amp; Hinge Creaser 30/50mm Shaft Device</t>
    </r>
  </si>
  <si>
    <t>Multi Tool</t>
  </si>
  <si>
    <t>T/C Easy Fit</t>
  </si>
  <si>
    <t>T/C Fast Fit</t>
  </si>
  <si>
    <t xml:space="preserve">EnduraCrease Ribs
(approximately 30% more) </t>
  </si>
  <si>
    <t>Orange Creasing Rib</t>
  </si>
  <si>
    <t>Blue Creasing Rib</t>
  </si>
  <si>
    <t>Yellow Creasing Rib</t>
  </si>
  <si>
    <t>Black or Blue Sleeve</t>
  </si>
  <si>
    <t>T/C Fast Fit or Easy Fit</t>
  </si>
  <si>
    <t>Stitching M/c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</si>
</sst>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3" fontId="2" fillId="0" borderId="9" xfId="0" applyNumberFormat="1" applyFont="1" applyBorder="1" applyAlignment="1">
      <alignment horizontal="center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left" vertical="center" wrapText="1"/>
    </xf>
    <xf numFmtId="3" fontId="2" fillId="2" borderId="15" xfId="0" applyNumberFormat="1" applyFont="1" applyFill="1" applyBorder="1" applyAlignment="1">
      <alignment horizontal="center" vertical="center" wrapText="1"/>
    </xf>
    <xf numFmtId="3" fontId="2" fillId="2" borderId="6" xfId="0" applyNumberFormat="1" applyFont="1" applyFill="1" applyBorder="1" applyAlignment="1">
      <alignment horizontal="center" vertical="center" wrapText="1"/>
    </xf>
    <xf numFmtId="3" fontId="2" fillId="3" borderId="16" xfId="0" applyNumberFormat="1" applyFont="1" applyFill="1" applyBorder="1" applyAlignment="1">
      <alignment horizontal="center" vertical="center" wrapText="1"/>
    </xf>
    <xf numFmtId="3" fontId="2" fillId="2" borderId="14" xfId="0" applyNumberFormat="1" applyFont="1" applyFill="1" applyBorder="1" applyAlignment="1">
      <alignment horizontal="center" vertical="center" wrapText="1"/>
    </xf>
    <xf numFmtId="3" fontId="2" fillId="2" borderId="16" xfId="0" applyNumberFormat="1" applyFont="1" applyFill="1" applyBorder="1" applyAlignment="1">
      <alignment horizontal="center" vertical="center" wrapText="1"/>
    </xf>
    <xf numFmtId="3" fontId="2" fillId="2" borderId="17" xfId="0" applyNumberFormat="1" applyFont="1" applyFill="1" applyBorder="1" applyAlignment="1">
      <alignment horizontal="center" vertical="center" wrapText="1"/>
    </xf>
    <xf numFmtId="3" fontId="2" fillId="3" borderId="13" xfId="0" applyNumberFormat="1" applyFont="1" applyFill="1" applyBorder="1" applyAlignment="1">
      <alignment horizontal="center" vertical="center" wrapText="1"/>
    </xf>
    <xf numFmtId="3" fontId="2" fillId="3" borderId="17" xfId="0" applyNumberFormat="1" applyFont="1" applyFill="1" applyBorder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center" vertical="center" wrapText="1"/>
    </xf>
    <xf numFmtId="3" fontId="2" fillId="2" borderId="18" xfId="0" applyNumberFormat="1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7" xfId="0" applyFont="1" applyFill="1" applyBorder="1" applyAlignment="1">
      <alignment horizontal="left" vertical="center" wrapText="1"/>
    </xf>
    <xf numFmtId="0" fontId="2" fillId="3" borderId="18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3" borderId="17" xfId="0" applyFont="1" applyFill="1" applyBorder="1" applyAlignment="1">
      <alignment horizontal="left" vertical="center" wrapText="1"/>
    </xf>
    <xf numFmtId="0" fontId="7" fillId="2" borderId="12" xfId="0" applyFont="1" applyFill="1" applyBorder="1" applyAlignment="1">
      <alignment horizontal="left" vertical="center" wrapText="1"/>
    </xf>
    <xf numFmtId="0" fontId="7" fillId="0" borderId="18" xfId="0" applyFont="1" applyBorder="1" applyAlignment="1">
      <alignment horizontal="left" vertical="center" wrapText="1"/>
    </xf>
    <xf numFmtId="0" fontId="7" fillId="2" borderId="14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left" vertical="center" wrapText="1"/>
    </xf>
    <xf numFmtId="0" fontId="7" fillId="2" borderId="16" xfId="0" applyFont="1" applyFill="1" applyBorder="1" applyAlignment="1">
      <alignment horizontal="left" vertical="center" wrapText="1"/>
    </xf>
    <xf numFmtId="0" fontId="7" fillId="0" borderId="16" xfId="0" applyFont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3" fontId="7" fillId="2" borderId="14" xfId="0" applyNumberFormat="1" applyFont="1" applyFill="1" applyBorder="1" applyAlignment="1">
      <alignment horizontal="center" vertical="center" wrapText="1"/>
    </xf>
    <xf numFmtId="3" fontId="7" fillId="2" borderId="15" xfId="0" applyNumberFormat="1" applyFont="1" applyFill="1" applyBorder="1" applyAlignment="1">
      <alignment horizontal="center" vertical="center" wrapText="1"/>
    </xf>
    <xf numFmtId="3" fontId="7" fillId="0" borderId="17" xfId="0" applyNumberFormat="1" applyFont="1" applyBorder="1" applyAlignment="1">
      <alignment horizontal="center" vertical="center" wrapText="1"/>
    </xf>
    <xf numFmtId="3" fontId="7" fillId="2" borderId="17" xfId="0" applyNumberFormat="1" applyFont="1" applyFill="1" applyBorder="1" applyAlignment="1">
      <alignment horizontal="center" vertical="center" wrapText="1"/>
    </xf>
    <xf numFmtId="3" fontId="7" fillId="2" borderId="6" xfId="0" applyNumberFormat="1" applyFont="1" applyFill="1" applyBorder="1" applyAlignment="1">
      <alignment horizontal="center" vertical="center" wrapText="1"/>
    </xf>
    <xf numFmtId="3" fontId="7" fillId="0" borderId="16" xfId="0" applyNumberFormat="1" applyFont="1" applyBorder="1" applyAlignment="1">
      <alignment horizontal="center" vertical="center" wrapText="1"/>
    </xf>
    <xf numFmtId="3" fontId="7" fillId="0" borderId="13" xfId="0" applyNumberFormat="1" applyFont="1" applyBorder="1" applyAlignment="1">
      <alignment horizontal="center" vertical="center" wrapText="1"/>
    </xf>
    <xf numFmtId="3" fontId="7" fillId="2" borderId="16" xfId="0" applyNumberFormat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4" xfId="0" applyNumberFormat="1" applyFont="1" applyBorder="1" applyAlignment="1">
      <alignment horizontal="center" vertical="center" wrapText="1"/>
    </xf>
    <xf numFmtId="0" fontId="2" fillId="2" borderId="17" xfId="0" applyNumberFormat="1" applyFont="1" applyFill="1" applyBorder="1" applyAlignment="1">
      <alignment horizontal="center" vertical="center" wrapText="1"/>
    </xf>
    <xf numFmtId="0" fontId="2" fillId="0" borderId="17" xfId="0" applyNumberFormat="1" applyFont="1" applyBorder="1" applyAlignment="1">
      <alignment horizontal="center" vertical="center" wrapText="1"/>
    </xf>
    <xf numFmtId="3" fontId="2" fillId="0" borderId="17" xfId="0" applyNumberFormat="1" applyFont="1" applyBorder="1" applyAlignment="1">
      <alignment horizontal="center" vertical="center" wrapText="1"/>
    </xf>
    <xf numFmtId="3" fontId="2" fillId="2" borderId="12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"/>
  <sheetViews>
    <sheetView tabSelected="1" zoomScale="110" zoomScaleNormal="110" workbookViewId="0">
      <selection activeCell="D29" sqref="D29"/>
    </sheetView>
  </sheetViews>
  <sheetFormatPr defaultRowHeight="12.75" x14ac:dyDescent="0.25"/>
  <cols>
    <col min="1" max="1" width="21" style="3" customWidth="1"/>
    <col min="2" max="2" width="26" style="4" customWidth="1"/>
    <col min="3" max="3" width="28.7109375" style="4" customWidth="1"/>
    <col min="4" max="4" width="21.7109375" style="4" customWidth="1"/>
    <col min="5" max="5" width="28.140625" style="2" customWidth="1"/>
    <col min="6" max="16384" width="9.140625" style="2"/>
  </cols>
  <sheetData>
    <row r="1" spans="1:5" s="1" customFormat="1" ht="45.75" customHeight="1" thickBot="1" x14ac:dyDescent="0.3">
      <c r="A1" s="74" t="s">
        <v>25</v>
      </c>
      <c r="B1" s="75"/>
      <c r="C1" s="75"/>
      <c r="D1" s="75"/>
      <c r="E1" s="76"/>
    </row>
    <row r="2" spans="1:5" s="6" customFormat="1" ht="30" customHeight="1" thickBot="1" x14ac:dyDescent="0.3">
      <c r="A2" s="84" t="s">
        <v>26</v>
      </c>
      <c r="B2" s="85"/>
      <c r="C2" s="85"/>
      <c r="D2" s="82"/>
      <c r="E2" s="86"/>
    </row>
    <row r="3" spans="1:5" s="7" customFormat="1" ht="27.75" customHeight="1" thickBot="1" x14ac:dyDescent="0.3">
      <c r="A3" s="10" t="s">
        <v>0</v>
      </c>
      <c r="B3" s="11" t="s">
        <v>1</v>
      </c>
      <c r="C3" s="14" t="s">
        <v>9</v>
      </c>
      <c r="D3" s="18" t="s">
        <v>15</v>
      </c>
      <c r="E3" s="11" t="s">
        <v>32</v>
      </c>
    </row>
    <row r="4" spans="1:5" ht="26.1" customHeight="1" x14ac:dyDescent="0.25">
      <c r="A4" s="19" t="s">
        <v>30</v>
      </c>
      <c r="B4" s="12" t="s">
        <v>4</v>
      </c>
      <c r="C4" s="8" t="s">
        <v>33</v>
      </c>
      <c r="D4" s="20">
        <v>1000000</v>
      </c>
      <c r="E4" s="21">
        <f>SUM(D4*130%)</f>
        <v>1300000</v>
      </c>
    </row>
    <row r="5" spans="1:5" ht="26.1" customHeight="1" x14ac:dyDescent="0.25">
      <c r="A5" s="37" t="s">
        <v>30</v>
      </c>
      <c r="B5" s="30" t="s">
        <v>4</v>
      </c>
      <c r="C5" s="30" t="s">
        <v>34</v>
      </c>
      <c r="D5" s="22">
        <v>600000</v>
      </c>
      <c r="E5" s="22">
        <f t="shared" ref="E5:E9" si="0">SUM(D5*130%)</f>
        <v>780000</v>
      </c>
    </row>
    <row r="6" spans="1:5" ht="26.1" customHeight="1" x14ac:dyDescent="0.25">
      <c r="A6" s="39" t="s">
        <v>30</v>
      </c>
      <c r="B6" s="34" t="s">
        <v>4</v>
      </c>
      <c r="C6" s="31" t="s">
        <v>35</v>
      </c>
      <c r="D6" s="25">
        <v>300000</v>
      </c>
      <c r="E6" s="24">
        <f t="shared" si="0"/>
        <v>390000</v>
      </c>
    </row>
    <row r="7" spans="1:5" ht="26.1" customHeight="1" x14ac:dyDescent="0.25">
      <c r="A7" s="40" t="s">
        <v>31</v>
      </c>
      <c r="B7" s="32" t="s">
        <v>4</v>
      </c>
      <c r="C7" s="32" t="s">
        <v>33</v>
      </c>
      <c r="D7" s="27">
        <v>1000000</v>
      </c>
      <c r="E7" s="22">
        <f t="shared" si="0"/>
        <v>1300000</v>
      </c>
    </row>
    <row r="8" spans="1:5" ht="26.1" customHeight="1" x14ac:dyDescent="0.25">
      <c r="A8" s="41" t="s">
        <v>31</v>
      </c>
      <c r="B8" s="34" t="s">
        <v>4</v>
      </c>
      <c r="C8" s="33" t="s">
        <v>34</v>
      </c>
      <c r="D8" s="25">
        <v>600000</v>
      </c>
      <c r="E8" s="25">
        <f t="shared" si="0"/>
        <v>780000</v>
      </c>
    </row>
    <row r="9" spans="1:5" ht="26.1" customHeight="1" x14ac:dyDescent="0.25">
      <c r="A9" s="37" t="s">
        <v>31</v>
      </c>
      <c r="B9" s="32" t="s">
        <v>4</v>
      </c>
      <c r="C9" s="30" t="s">
        <v>35</v>
      </c>
      <c r="D9" s="27">
        <v>300000</v>
      </c>
      <c r="E9" s="26">
        <f t="shared" si="0"/>
        <v>390000</v>
      </c>
    </row>
    <row r="10" spans="1:5" ht="26.1" customHeight="1" x14ac:dyDescent="0.25">
      <c r="A10" s="41" t="s">
        <v>2</v>
      </c>
      <c r="B10" s="34" t="s">
        <v>4</v>
      </c>
      <c r="C10" s="31" t="s">
        <v>8</v>
      </c>
      <c r="D10" s="25">
        <v>8000000</v>
      </c>
      <c r="E10" s="25" t="s">
        <v>21</v>
      </c>
    </row>
    <row r="11" spans="1:5" ht="26.1" customHeight="1" x14ac:dyDescent="0.25">
      <c r="A11" s="37" t="s">
        <v>3</v>
      </c>
      <c r="B11" s="35" t="s">
        <v>4</v>
      </c>
      <c r="C11" s="32" t="s">
        <v>12</v>
      </c>
      <c r="D11" s="27">
        <v>8000000</v>
      </c>
      <c r="E11" s="27" t="s">
        <v>21</v>
      </c>
    </row>
    <row r="12" spans="1:5" ht="26.1" customHeight="1" x14ac:dyDescent="0.25">
      <c r="A12" s="39" t="s">
        <v>3</v>
      </c>
      <c r="B12" s="34" t="s">
        <v>4</v>
      </c>
      <c r="C12" s="33" t="s">
        <v>13</v>
      </c>
      <c r="D12" s="25">
        <v>4000000</v>
      </c>
      <c r="E12" s="28" t="s">
        <v>21</v>
      </c>
    </row>
    <row r="13" spans="1:5" ht="26.1" customHeight="1" x14ac:dyDescent="0.25">
      <c r="A13" s="42" t="s">
        <v>29</v>
      </c>
      <c r="B13" s="35" t="s">
        <v>4</v>
      </c>
      <c r="C13" s="30" t="s">
        <v>10</v>
      </c>
      <c r="D13" s="27">
        <v>8000000</v>
      </c>
      <c r="E13" s="22" t="s">
        <v>21</v>
      </c>
    </row>
    <row r="14" spans="1:5" ht="26.1" customHeight="1" x14ac:dyDescent="0.25">
      <c r="A14" s="39" t="s">
        <v>29</v>
      </c>
      <c r="B14" s="34" t="s">
        <v>4</v>
      </c>
      <c r="C14" s="31" t="s">
        <v>11</v>
      </c>
      <c r="D14" s="29">
        <v>8000000</v>
      </c>
      <c r="E14" s="24" t="s">
        <v>21</v>
      </c>
    </row>
    <row r="15" spans="1:5" ht="26.1" customHeight="1" x14ac:dyDescent="0.25">
      <c r="A15" s="40" t="s">
        <v>29</v>
      </c>
      <c r="B15" s="32" t="s">
        <v>4</v>
      </c>
      <c r="C15" s="32" t="s">
        <v>33</v>
      </c>
      <c r="D15" s="27">
        <v>1000000</v>
      </c>
      <c r="E15" s="22">
        <f t="shared" ref="E15:E17" si="1">SUM(D15*130%)</f>
        <v>1300000</v>
      </c>
    </row>
    <row r="16" spans="1:5" ht="26.1" customHeight="1" x14ac:dyDescent="0.25">
      <c r="A16" s="41" t="s">
        <v>29</v>
      </c>
      <c r="B16" s="34" t="s">
        <v>4</v>
      </c>
      <c r="C16" s="34" t="s">
        <v>34</v>
      </c>
      <c r="D16" s="29">
        <v>650000</v>
      </c>
      <c r="E16" s="25">
        <f t="shared" si="1"/>
        <v>845000</v>
      </c>
    </row>
    <row r="17" spans="1:5" ht="26.1" customHeight="1" x14ac:dyDescent="0.25">
      <c r="A17" s="37" t="s">
        <v>29</v>
      </c>
      <c r="B17" s="32" t="s">
        <v>4</v>
      </c>
      <c r="C17" s="32" t="s">
        <v>35</v>
      </c>
      <c r="D17" s="27">
        <v>300000</v>
      </c>
      <c r="E17" s="27">
        <f t="shared" si="1"/>
        <v>390000</v>
      </c>
    </row>
    <row r="18" spans="1:5" ht="26.1" customHeight="1" thickBot="1" x14ac:dyDescent="0.3">
      <c r="A18" s="38" t="s">
        <v>14</v>
      </c>
      <c r="B18" s="13" t="s">
        <v>4</v>
      </c>
      <c r="C18" s="15" t="s">
        <v>36</v>
      </c>
      <c r="D18" s="23">
        <v>1000000</v>
      </c>
      <c r="E18" s="17" t="s">
        <v>21</v>
      </c>
    </row>
    <row r="19" spans="1:5" s="6" customFormat="1" ht="30" customHeight="1" thickBot="1" x14ac:dyDescent="0.3">
      <c r="A19" s="81" t="s">
        <v>27</v>
      </c>
      <c r="B19" s="82"/>
      <c r="C19" s="82"/>
      <c r="D19" s="82"/>
      <c r="E19" s="83"/>
    </row>
    <row r="20" spans="1:5" s="6" customFormat="1" ht="30" customHeight="1" x14ac:dyDescent="0.25">
      <c r="A20" s="43" t="s">
        <v>37</v>
      </c>
      <c r="B20" s="52" t="s">
        <v>4</v>
      </c>
      <c r="C20" s="53" t="s">
        <v>33</v>
      </c>
      <c r="D20" s="58">
        <v>600000</v>
      </c>
      <c r="E20" s="61">
        <f>SUM(D20*130%)</f>
        <v>780000</v>
      </c>
    </row>
    <row r="21" spans="1:5" s="6" customFormat="1" ht="30" customHeight="1" x14ac:dyDescent="0.25">
      <c r="A21" s="44" t="s">
        <v>37</v>
      </c>
      <c r="B21" s="51" t="s">
        <v>4</v>
      </c>
      <c r="C21" s="54" t="s">
        <v>34</v>
      </c>
      <c r="D21" s="59">
        <v>400000</v>
      </c>
      <c r="E21" s="62">
        <f>SUM(D21*130%)</f>
        <v>520000</v>
      </c>
    </row>
    <row r="22" spans="1:5" s="6" customFormat="1" ht="30" customHeight="1" x14ac:dyDescent="0.25">
      <c r="A22" s="46" t="s">
        <v>37</v>
      </c>
      <c r="B22" s="49" t="s">
        <v>4</v>
      </c>
      <c r="C22" s="56" t="s">
        <v>35</v>
      </c>
      <c r="D22" s="60">
        <v>200000</v>
      </c>
      <c r="E22" s="60">
        <f>SUM(D22*130%)</f>
        <v>260000</v>
      </c>
    </row>
    <row r="23" spans="1:5" s="6" customFormat="1" ht="30" customHeight="1" x14ac:dyDescent="0.25">
      <c r="A23" s="44" t="s">
        <v>2</v>
      </c>
      <c r="B23" s="50" t="s">
        <v>4</v>
      </c>
      <c r="C23" s="54" t="s">
        <v>8</v>
      </c>
      <c r="D23" s="59">
        <v>4500000</v>
      </c>
      <c r="E23" s="63" t="s">
        <v>21</v>
      </c>
    </row>
    <row r="24" spans="1:5" s="6" customFormat="1" ht="30" customHeight="1" x14ac:dyDescent="0.25">
      <c r="A24" s="47" t="s">
        <v>3</v>
      </c>
      <c r="B24" s="49" t="s">
        <v>4</v>
      </c>
      <c r="C24" s="56" t="s">
        <v>12</v>
      </c>
      <c r="D24" s="60">
        <v>4500000</v>
      </c>
      <c r="E24" s="64" t="s">
        <v>21</v>
      </c>
    </row>
    <row r="25" spans="1:5" s="6" customFormat="1" ht="30" customHeight="1" x14ac:dyDescent="0.25">
      <c r="A25" s="48" t="s">
        <v>3</v>
      </c>
      <c r="B25" s="50" t="s">
        <v>4</v>
      </c>
      <c r="C25" s="54" t="s">
        <v>13</v>
      </c>
      <c r="D25" s="59">
        <v>4500000</v>
      </c>
      <c r="E25" s="62" t="s">
        <v>21</v>
      </c>
    </row>
    <row r="26" spans="1:5" s="6" customFormat="1" ht="30" customHeight="1" thickBot="1" x14ac:dyDescent="0.3">
      <c r="A26" s="45" t="s">
        <v>14</v>
      </c>
      <c r="B26" s="49" t="s">
        <v>4</v>
      </c>
      <c r="C26" s="55" t="s">
        <v>36</v>
      </c>
      <c r="D26" s="57" t="s">
        <v>17</v>
      </c>
      <c r="E26" s="57" t="s">
        <v>21</v>
      </c>
    </row>
    <row r="27" spans="1:5" s="6" customFormat="1" ht="30" customHeight="1" thickBot="1" x14ac:dyDescent="0.3">
      <c r="A27" s="77" t="s">
        <v>28</v>
      </c>
      <c r="B27" s="78"/>
      <c r="C27" s="78"/>
      <c r="D27" s="79"/>
      <c r="E27" s="80"/>
    </row>
    <row r="28" spans="1:5" ht="30" customHeight="1" x14ac:dyDescent="0.25">
      <c r="A28" s="19" t="s">
        <v>16</v>
      </c>
      <c r="B28" s="12" t="s">
        <v>38</v>
      </c>
      <c r="C28" s="36" t="s">
        <v>5</v>
      </c>
      <c r="D28" s="20" t="s">
        <v>17</v>
      </c>
      <c r="E28" s="73" t="s">
        <v>21</v>
      </c>
    </row>
    <row r="29" spans="1:5" ht="30" customHeight="1" x14ac:dyDescent="0.25">
      <c r="A29" s="65" t="s">
        <v>16</v>
      </c>
      <c r="B29" s="68" t="s">
        <v>38</v>
      </c>
      <c r="C29" s="68" t="s">
        <v>18</v>
      </c>
      <c r="D29" s="72">
        <v>800000</v>
      </c>
      <c r="E29" s="72" t="s">
        <v>21</v>
      </c>
    </row>
    <row r="30" spans="1:5" ht="30" customHeight="1" x14ac:dyDescent="0.25">
      <c r="A30" s="41" t="s">
        <v>16</v>
      </c>
      <c r="B30" s="34" t="s">
        <v>38</v>
      </c>
      <c r="C30" s="33" t="s">
        <v>7</v>
      </c>
      <c r="D30" s="25">
        <v>600000</v>
      </c>
      <c r="E30" s="25" t="s">
        <v>21</v>
      </c>
    </row>
    <row r="31" spans="1:5" ht="30" customHeight="1" x14ac:dyDescent="0.25">
      <c r="A31" s="65" t="s">
        <v>19</v>
      </c>
      <c r="B31" s="68" t="s">
        <v>20</v>
      </c>
      <c r="C31" s="68" t="s">
        <v>5</v>
      </c>
      <c r="D31" s="71" t="s">
        <v>22</v>
      </c>
      <c r="E31" s="72" t="s">
        <v>21</v>
      </c>
    </row>
    <row r="32" spans="1:5" ht="30" customHeight="1" x14ac:dyDescent="0.25">
      <c r="A32" s="39" t="s">
        <v>19</v>
      </c>
      <c r="B32" s="67" t="s">
        <v>20</v>
      </c>
      <c r="C32" s="33" t="s">
        <v>6</v>
      </c>
      <c r="D32" s="70" t="s">
        <v>23</v>
      </c>
      <c r="E32" s="25" t="s">
        <v>21</v>
      </c>
    </row>
    <row r="33" spans="1:5" ht="30" customHeight="1" thickBot="1" x14ac:dyDescent="0.3">
      <c r="A33" s="9" t="s">
        <v>19</v>
      </c>
      <c r="B33" s="66" t="s">
        <v>20</v>
      </c>
      <c r="C33" s="66" t="s">
        <v>7</v>
      </c>
      <c r="D33" s="69" t="s">
        <v>24</v>
      </c>
      <c r="E33" s="16" t="s">
        <v>21</v>
      </c>
    </row>
    <row r="34" spans="1:5" ht="30" customHeight="1" x14ac:dyDescent="0.25">
      <c r="D34" s="5"/>
      <c r="E34" s="5"/>
    </row>
    <row r="35" spans="1:5" ht="30" customHeight="1" x14ac:dyDescent="0.25">
      <c r="D35" s="5"/>
      <c r="E35" s="5"/>
    </row>
    <row r="36" spans="1:5" ht="30" customHeight="1" x14ac:dyDescent="0.25">
      <c r="D36" s="5"/>
      <c r="E36" s="5"/>
    </row>
    <row r="37" spans="1:5" ht="30" customHeight="1" x14ac:dyDescent="0.25">
      <c r="D37" s="5"/>
      <c r="E37" s="5"/>
    </row>
    <row r="38" spans="1:5" ht="30" customHeight="1" x14ac:dyDescent="0.25">
      <c r="D38" s="5"/>
      <c r="E38" s="5"/>
    </row>
    <row r="39" spans="1:5" ht="30" customHeight="1" x14ac:dyDescent="0.25">
      <c r="D39" s="5"/>
      <c r="E39" s="5"/>
    </row>
    <row r="40" spans="1:5" ht="30" customHeight="1" x14ac:dyDescent="0.25">
      <c r="D40" s="5"/>
      <c r="E40" s="5"/>
    </row>
    <row r="41" spans="1:5" ht="30" customHeight="1" x14ac:dyDescent="0.25">
      <c r="D41" s="5"/>
      <c r="E41" s="5"/>
    </row>
    <row r="42" spans="1:5" ht="30" customHeight="1" x14ac:dyDescent="0.25">
      <c r="D42" s="5"/>
      <c r="E42" s="5"/>
    </row>
    <row r="43" spans="1:5" ht="30" customHeight="1" x14ac:dyDescent="0.25">
      <c r="D43" s="5"/>
      <c r="E43" s="5"/>
    </row>
    <row r="44" spans="1:5" ht="30" customHeight="1" x14ac:dyDescent="0.25">
      <c r="D44" s="5"/>
      <c r="E44" s="5"/>
    </row>
    <row r="45" spans="1:5" ht="30" customHeight="1" x14ac:dyDescent="0.25">
      <c r="D45" s="5"/>
      <c r="E45" s="5"/>
    </row>
    <row r="46" spans="1:5" ht="30" customHeight="1" x14ac:dyDescent="0.25">
      <c r="D46" s="5"/>
      <c r="E46" s="5"/>
    </row>
    <row r="47" spans="1:5" ht="30" customHeight="1" x14ac:dyDescent="0.25">
      <c r="D47" s="5"/>
      <c r="E47" s="5"/>
    </row>
    <row r="48" spans="1:5" ht="30" customHeight="1" x14ac:dyDescent="0.25">
      <c r="D48" s="5"/>
      <c r="E48" s="5"/>
    </row>
    <row r="49" spans="4:5" ht="24.95" customHeight="1" x14ac:dyDescent="0.25">
      <c r="D49" s="5"/>
      <c r="E49" s="5"/>
    </row>
    <row r="50" spans="4:5" ht="24.95" customHeight="1" x14ac:dyDescent="0.25">
      <c r="D50" s="5"/>
      <c r="E50" s="5"/>
    </row>
    <row r="51" spans="4:5" ht="24.95" customHeight="1" x14ac:dyDescent="0.25">
      <c r="D51" s="5"/>
      <c r="E51" s="5"/>
    </row>
    <row r="52" spans="4:5" ht="24.95" customHeight="1" x14ac:dyDescent="0.25">
      <c r="D52" s="5"/>
      <c r="E52" s="5"/>
    </row>
    <row r="53" spans="4:5" ht="24.95" customHeight="1" x14ac:dyDescent="0.25">
      <c r="D53" s="5"/>
      <c r="E53" s="5"/>
    </row>
    <row r="54" spans="4:5" ht="24.95" customHeight="1" x14ac:dyDescent="0.25">
      <c r="D54" s="5"/>
      <c r="E54" s="5"/>
    </row>
    <row r="55" spans="4:5" x14ac:dyDescent="0.25">
      <c r="D55" s="5"/>
      <c r="E55" s="5"/>
    </row>
    <row r="56" spans="4:5" x14ac:dyDescent="0.25">
      <c r="D56" s="5"/>
      <c r="E56" s="5"/>
    </row>
  </sheetData>
  <mergeCells count="4">
    <mergeCell ref="A1:E1"/>
    <mergeCell ref="A27:E27"/>
    <mergeCell ref="A19:E19"/>
    <mergeCell ref="A2:E2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Tech-ni-Fold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Vivienne Edwards</dc:creator>
  <cp:lastModifiedBy>Tristan Owen</cp:lastModifiedBy>
  <cp:lastPrinted>2021-11-03T11:46:20Z</cp:lastPrinted>
  <dcterms:created xsi:type="dcterms:W3CDTF">2014-09-05T08:25:57Z</dcterms:created>
  <dcterms:modified xsi:type="dcterms:W3CDTF">2021-11-03T11:47:57Z</dcterms:modified>
</cp:coreProperties>
</file>